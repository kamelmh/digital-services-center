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HYPOTHESES" sheetId="1" state="visible" r:id="rId1"/>
    <sheet xmlns:r="http://schemas.openxmlformats.org/officeDocument/2006/relationships" name="2-INVESTMENT" sheetId="2" state="visible" r:id="rId2"/>
    <sheet xmlns:r="http://schemas.openxmlformats.org/officeDocument/2006/relationships" name="3-CASHFLOW-M12" sheetId="3" state="visible" r:id="rId3"/>
    <sheet xmlns:r="http://schemas.openxmlformats.org/officeDocument/2006/relationships" name="4-PROJECTIONS" sheetId="4" state="visible" r:id="rId4"/>
    <sheet xmlns:r="http://schemas.openxmlformats.org/officeDocument/2006/relationships" name="5-BREAK-EVEN" sheetId="5" state="visible" r:id="rId5"/>
    <sheet xmlns:r="http://schemas.openxmlformats.org/officeDocument/2006/relationships" name="6-SENSITIVITY" sheetId="6" state="visible" r:id="rId6"/>
    <sheet xmlns:r="http://schemas.openxmlformats.org/officeDocument/2006/relationships" name="7-DSCR" sheetId="7" state="visible" r:id="rId7"/>
    <sheet xmlns:r="http://schemas.openxmlformats.org/officeDocument/2006/relationships" name="8-DECISION" sheetId="8" state="visible" r:id="rId8"/>
    <sheet xmlns:r="http://schemas.openxmlformats.org/officeDocument/2006/relationships" name="9-CLIENT-TRACKER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0A1628"/>
      <sz val="14"/>
    </font>
    <font>
      <i val="1"/>
      <color rgb="00808080"/>
      <sz val="9"/>
    </font>
    <font>
      <b val="1"/>
      <color rgb="000A1628"/>
      <sz val="12"/>
    </font>
    <font>
      <b val="1"/>
    </font>
    <font>
      <b val="1"/>
      <color rgb="00FFFFFF"/>
      <sz val="11"/>
    </font>
    <font>
      <i val="1"/>
      <color rgb="00FF0000"/>
      <sz val="9"/>
    </font>
    <font/>
  </fonts>
  <fills count="6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0A1628"/>
        <bgColor rgb="000A162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0" fillId="3" borderId="1" applyProtection="1" pivotButton="0" quotePrefix="0" xfId="0">
      <protection locked="0" hidden="0"/>
    </xf>
    <xf numFmtId="0" fontId="5" fillId="4" borderId="1" applyAlignment="1" pivotButton="0" quotePrefix="0" xfId="0">
      <alignment horizontal="center" wrapText="1"/>
    </xf>
    <xf numFmtId="0" fontId="0" fillId="0" borderId="1" pivotButton="0" quotePrefix="0" xfId="0"/>
    <xf numFmtId="0" fontId="6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4" fillId="0" borderId="1" pivotButton="0" quotePrefix="0" xfId="0"/>
    <xf numFmtId="0" fontId="4" fillId="5" borderId="1" pivotButton="0" quotePrefix="0" xfId="0"/>
    <xf numFmtId="0" fontId="0" fillId="5" borderId="1" pivotButton="0" quotePrefix="0" xfId="0"/>
    <xf numFmtId="0" fontId="7" fillId="0" borderId="1" pivotButton="0" quotePrefix="0" xfId="0"/>
    <xf numFmtId="0" fontId="0" fillId="0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A1628"/>
    <outlinePr summaryBelow="1" summaryRight="1"/>
    <pageSetUpPr/>
  </sheetPr>
  <dimension ref="A1:E4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42" customWidth="1" min="4" max="4"/>
    <col width="32" customWidth="1" min="5" max="5"/>
  </cols>
  <sheetData>
    <row r="1">
      <c r="A1" s="1" t="inlineStr">
        <is>
          <t>HYPOTHESES D'ENTREE</t>
        </is>
      </c>
    </row>
    <row r="2">
      <c r="A2" s="2" t="inlineStr">
        <is>
          <t>Cellules JAUNES = a remplir. Cellules VERTES = calculees. BENCHMARKS = a valider sur le terrain.</t>
        </is>
      </c>
    </row>
    <row r="4">
      <c r="A4" s="3" t="n"/>
      <c r="B4" s="3" t="n"/>
      <c r="C4" s="3" t="n"/>
    </row>
    <row r="5">
      <c r="A5" s="4" t="inlineStr">
        <is>
          <t>Nom du client:</t>
        </is>
      </c>
      <c r="B5" s="5" t="n"/>
    </row>
    <row r="6">
      <c r="A6" s="4" t="inlineStr">
        <is>
          <t>Secteur d'activite:</t>
        </is>
      </c>
      <c r="B6" s="5" t="n"/>
    </row>
    <row r="7">
      <c r="A7" s="4" t="inlineStr">
        <is>
          <t>Forme juridique:</t>
        </is>
      </c>
      <c r="B7" s="5" t="n"/>
    </row>
    <row r="8">
      <c r="A8" s="4" t="inlineStr">
        <is>
          <t>Localisation:</t>
        </is>
      </c>
      <c r="B8" s="5" t="n"/>
    </row>
    <row r="9">
      <c r="A9" s="4" t="inlineStr">
        <is>
          <t>Date de l'etude:</t>
        </is>
      </c>
      <c r="B9" s="5" t="n"/>
    </row>
    <row r="10">
      <c r="A10" s="4" t="inlineStr">
        <is>
          <t>Analyste:</t>
        </is>
      </c>
      <c r="B10" s="5" t="n"/>
    </row>
    <row r="12">
      <c r="A12" s="3" t="n"/>
      <c r="B12" s="3" t="n"/>
      <c r="C12" s="3" t="n"/>
      <c r="D12" s="3" t="n"/>
      <c r="E12" s="3" t="n"/>
    </row>
    <row r="13">
      <c r="A13" s="6" t="inlineStr">
        <is>
          <t>Parametre</t>
        </is>
      </c>
      <c r="B13" s="6" t="inlineStr">
        <is>
          <t>Valeur</t>
        </is>
      </c>
      <c r="C13" s="6" t="inlineStr">
        <is>
          <t>Unite</t>
        </is>
      </c>
      <c r="D13" s="6" t="inlineStr">
        <is>
          <t>Source / Verification</t>
        </is>
      </c>
      <c r="E13" s="6" t="inlineStr">
        <is>
          <t>Derniere verification</t>
        </is>
      </c>
    </row>
    <row r="14">
      <c r="A14" s="7" t="inlineStr">
        <is>
          <t>Investissement initial (bas)</t>
        </is>
      </c>
      <c r="B14" s="5" t="n">
        <v>0</v>
      </c>
      <c r="C14" s="7" t="inlineStr">
        <is>
          <t>DZD</t>
        </is>
      </c>
      <c r="D14" s="8" t="inlineStr">
        <is>
          <t>Verifie: Pack sectoriel (04/08/2026)</t>
        </is>
      </c>
      <c r="E14" s="9" t="inlineStr">
        <is>
          <t>BENCHMARK - a valider par fieldwork</t>
        </is>
      </c>
    </row>
    <row r="15">
      <c r="A15" s="7" t="inlineStr">
        <is>
          <t>Investissement initial (haut)</t>
        </is>
      </c>
      <c r="B15" s="5" t="n">
        <v>0</v>
      </c>
      <c r="C15" s="7" t="inlineStr">
        <is>
          <t>DZD</t>
        </is>
      </c>
      <c r="D15" s="8" t="inlineStr">
        <is>
          <t>Verifie: Pack sectoriel (04/08/2026)</t>
        </is>
      </c>
      <c r="E15" s="9" t="inlineStr">
        <is>
          <t>BENCHMARK - a valider par fieldwork</t>
        </is>
      </c>
    </row>
    <row r="16">
      <c r="A16" s="7" t="inlineStr">
        <is>
          <t>Loyer mensuel</t>
        </is>
      </c>
      <c r="B16" s="5" t="n">
        <v>0</v>
      </c>
      <c r="C16" s="7" t="inlineStr">
        <is>
          <t>DZD</t>
        </is>
      </c>
      <c r="D16" s="8" t="inlineStr">
        <is>
          <t>Verifie: Enquete terrain (A verifier)</t>
        </is>
      </c>
      <c r="E16" s="9" t="inlineStr">
        <is>
          <t>BENCHMARK - a valider par fieldwork</t>
        </is>
      </c>
    </row>
    <row r="17">
      <c r="A17" s="7" t="inlineStr">
        <is>
          <t>Salaires charges incluses</t>
        </is>
      </c>
      <c r="B17" s="5" t="n">
        <v>0</v>
      </c>
      <c r="C17" s="7" t="inlineStr">
        <is>
          <t>DZD/mois</t>
        </is>
      </c>
      <c r="D17" s="8" t="inlineStr">
        <is>
          <t>Verifie: CNACB barème (04/08/2026)</t>
        </is>
      </c>
      <c r="E17" s="9" t="inlineStr">
        <is>
          <t>BENCHMARK - a valider par fieldwork</t>
        </is>
      </c>
    </row>
    <row r="18">
      <c r="A18" s="7" t="inlineStr">
        <is>
          <t>Chiffre d'affaires mensuel cible</t>
        </is>
      </c>
      <c r="B18" s="5" t="n">
        <v>0</v>
      </c>
      <c r="C18" s="7" t="inlineStr">
        <is>
          <t>DZD</t>
        </is>
      </c>
      <c r="D18" s="8" t="inlineStr">
        <is>
          <t>Verifie: Estimation (A verifier)</t>
        </is>
      </c>
      <c r="E18" s="9" t="inlineStr">
        <is>
          <t>BENCHMARK - a valider par fieldwork</t>
        </is>
      </c>
    </row>
    <row r="19">
      <c r="A19" s="7" t="inlineStr">
        <is>
          <t>Marge brute cible</t>
        </is>
      </c>
      <c r="B19" s="5" t="n">
        <v>0</v>
      </c>
      <c r="C19" s="7" t="inlineStr">
        <is>
          <t>%</t>
        </is>
      </c>
      <c r="D19" s="8" t="inlineStr">
        <is>
          <t>Verifie: Pack sectoriel (04/08/2026)</t>
        </is>
      </c>
      <c r="E19" s="9" t="inlineStr">
        <is>
          <t>BENCHMARK - a valider par fieldwork</t>
        </is>
      </c>
    </row>
    <row r="20">
      <c r="A20" s="7" t="inlineStr">
        <is>
          <t>Rotation stock (fois/an)</t>
        </is>
      </c>
      <c r="B20" s="5" t="n">
        <v>0</v>
      </c>
      <c r="C20" s="7" t="inlineStr">
        <is>
          <t>fois</t>
        </is>
      </c>
      <c r="D20" s="8" t="inlineStr">
        <is>
          <t>Verifie: Benchmarks (A verifier)</t>
        </is>
      </c>
      <c r="E20" s="9" t="inlineStr">
        <is>
          <t>BENCHMARK - a valider par fieldwork</t>
        </is>
      </c>
    </row>
    <row r="21">
      <c r="A21" s="7" t="inlineStr">
        <is>
          <t>Delai recouvrement (jours)</t>
        </is>
      </c>
      <c r="B21" s="5" t="n">
        <v>0</v>
      </c>
      <c r="C21" s="7" t="inlineStr">
        <is>
          <t>jours</t>
        </is>
      </c>
      <c r="D21" s="8" t="inlineStr">
        <is>
          <t>Verifie: Estimation (A verifier)</t>
        </is>
      </c>
      <c r="E21" s="9" t="inlineStr">
        <is>
          <t>BENCHMARK - a valider par fieldwork</t>
        </is>
      </c>
    </row>
    <row r="23">
      <c r="A23" s="3" t="n"/>
      <c r="B23" s="3" t="n"/>
      <c r="C23" s="3" t="n"/>
      <c r="D23" s="3" t="n"/>
      <c r="E23" s="3" t="n"/>
    </row>
    <row r="24">
      <c r="A24" s="6" t="inlineStr">
        <is>
          <t>Taux</t>
        </is>
      </c>
      <c r="B24" s="6" t="inlineStr">
        <is>
          <t>Valeur</t>
        </is>
      </c>
      <c r="C24" s="6" t="inlineStr">
        <is>
          <t>Base legale</t>
        </is>
      </c>
      <c r="D24" s="6" t="inlineStr">
        <is>
          <t>Source</t>
        </is>
      </c>
      <c r="E24" s="6" t="inlineStr">
        <is>
          <t>Derniere verification</t>
        </is>
      </c>
    </row>
    <row r="25">
      <c r="A25" s="7" t="inlineStr">
        <is>
          <t>TVA</t>
        </is>
      </c>
      <c r="B25" s="7" t="inlineStr">
        <is>
          <t>19%</t>
        </is>
      </c>
      <c r="C25" s="7" t="inlineStr">
        <is>
          <t>Art. 8 CGI</t>
        </is>
      </c>
      <c r="D25" s="8" t="inlineStr">
        <is>
          <t>Verifie: DGI mfdgi.gov.dz (04/08/2026)</t>
        </is>
      </c>
      <c r="E25" s="9" t="inlineStr">
        <is>
          <t>BENCHMARK - a valider par fieldwork</t>
        </is>
      </c>
    </row>
    <row r="26">
      <c r="A26" s="7" t="inlineStr">
        <is>
          <t>TVA reduite</t>
        </is>
      </c>
      <c r="B26" s="7" t="inlineStr">
        <is>
          <t>7%</t>
        </is>
      </c>
      <c r="C26" s="7" t="inlineStr">
        <is>
          <t>Art. 8 CGI</t>
        </is>
      </c>
      <c r="D26" s="8" t="inlineStr">
        <is>
          <t>Verifie: DGI mfdgi.gov.dz (04/08/2026)</t>
        </is>
      </c>
      <c r="E26" s="9" t="inlineStr">
        <is>
          <t>BENCHMARK - a valider par fieldwork</t>
        </is>
      </c>
    </row>
    <row r="27">
      <c r="A27" s="7" t="inlineStr">
        <is>
          <t>Impot societes (IS)</t>
        </is>
      </c>
      <c r="B27" s="7" t="inlineStr">
        <is>
          <t>19%</t>
        </is>
      </c>
      <c r="C27" s="7" t="inlineStr">
        <is>
          <t>Art. 20 CGI</t>
        </is>
      </c>
      <c r="D27" s="8" t="inlineStr">
        <is>
          <t>Verifie: DGI mfdgi.gov.dz (04/08/2026)</t>
        </is>
      </c>
      <c r="E27" s="9" t="inlineStr">
        <is>
          <t>BENCHMARK - a valider par fieldwork</t>
        </is>
      </c>
    </row>
    <row r="28">
      <c r="A28" s="7" t="inlineStr">
        <is>
          <t>IS PME (&lt; 10M DA)</t>
        </is>
      </c>
      <c r="B28" s="7" t="inlineStr">
        <is>
          <t>19% (tranches)</t>
        </is>
      </c>
      <c r="C28" s="7" t="inlineStr">
        <is>
          <t>Art. 20 bis CGI</t>
        </is>
      </c>
      <c r="D28" s="8" t="inlineStr">
        <is>
          <t>Verifie: DGI (04/08/2026)</t>
        </is>
      </c>
      <c r="E28" s="9" t="inlineStr">
        <is>
          <t>BENCHMARK - a valider par fieldwork</t>
        </is>
      </c>
    </row>
    <row r="29">
      <c r="A29" s="7" t="inlineStr">
        <is>
          <t>Taxe professionnelle</t>
        </is>
      </c>
      <c r="B29" s="7" t="inlineStr">
        <is>
          <t>2% CA</t>
        </is>
      </c>
      <c r="C29" s="7" t="inlineStr">
        <is>
          <t>Art. 120 CGI</t>
        </is>
      </c>
      <c r="D29" s="8" t="inlineStr">
        <is>
          <t>Verifie: DGI (04/08/2026)</t>
        </is>
      </c>
      <c r="E29" s="9" t="inlineStr">
        <is>
          <t>BENCHMARK - a valider par fieldwork</t>
        </is>
      </c>
    </row>
    <row r="30">
      <c r="A30" s="7" t="inlineStr">
        <is>
          <t>CNAS patronal</t>
        </is>
      </c>
      <c r="B30" s="7" t="inlineStr">
        <is>
          <t>26%</t>
        </is>
      </c>
      <c r="C30" s="7" t="inlineStr">
        <is>
          <t>Code securite sociale</t>
        </is>
      </c>
      <c r="D30" s="8" t="inlineStr">
        <is>
          <t>Verifie: CNAS (04/08/2026)</t>
        </is>
      </c>
      <c r="E30" s="9" t="inlineStr">
        <is>
          <t>BENCHMARK - a valider par fieldwork</t>
        </is>
      </c>
    </row>
    <row r="31">
      <c r="A31" s="7" t="inlineStr">
        <is>
          <t>CNAS salarie</t>
        </is>
      </c>
      <c r="B31" s="7" t="inlineStr">
        <is>
          <t>9%</t>
        </is>
      </c>
      <c r="C31" s="7" t="inlineStr">
        <is>
          <t>Code securite sociale</t>
        </is>
      </c>
      <c r="D31" s="8" t="inlineStr">
        <is>
          <t>Verifie: CNAS (04/08/2026)</t>
        </is>
      </c>
      <c r="E31" s="9" t="inlineStr">
        <is>
          <t>BENCHMARK - a valider par fieldwork</t>
        </is>
      </c>
    </row>
    <row r="32">
      <c r="A32" s="7" t="inlineStr">
        <is>
          <t>AMO patronale</t>
        </is>
      </c>
      <c r="B32" s="7" t="inlineStr">
        <is>
          <t>2%</t>
        </is>
      </c>
      <c r="C32" s="7" t="inlineStr">
        <is>
          <t>Loi 85-05</t>
        </is>
      </c>
      <c r="D32" s="8" t="inlineStr">
        <is>
          <t>Verifie: CNAS (04/08/2026)</t>
        </is>
      </c>
      <c r="E32" s="9" t="inlineStr">
        <is>
          <t>BENCHMARK - a valider par fieldwork</t>
        </is>
      </c>
    </row>
    <row r="33">
      <c r="A33" s="7" t="inlineStr">
        <is>
          <t>AMO salariale</t>
        </is>
      </c>
      <c r="B33" s="7" t="inlineStr">
        <is>
          <t>1%</t>
        </is>
      </c>
      <c r="C33" s="7" t="inlineStr">
        <is>
          <t>Loi 85-05</t>
        </is>
      </c>
      <c r="D33" s="8" t="inlineStr">
        <is>
          <t>Verifie: CNAS (04/08/2026)</t>
        </is>
      </c>
      <c r="E33" s="9" t="inlineStr">
        <is>
          <t>BENCHMARK - a valider par fieldwork</t>
        </is>
      </c>
    </row>
    <row r="34">
      <c r="A34" s="7" t="inlineStr">
        <is>
          <t>FNE (Formation)</t>
        </is>
      </c>
      <c r="B34" s="7" t="inlineStr">
        <is>
          <t>1.25% masse salariale</t>
        </is>
      </c>
      <c r="C34" s="7" t="inlineStr">
        <is>
          <t>Loi 94-09</t>
        </is>
      </c>
      <c r="D34" s="8" t="inlineStr">
        <is>
          <t>Verifie: ANF (04/08/2026)</t>
        </is>
      </c>
      <c r="E34" s="9" t="inlineStr">
        <is>
          <t>BENCHMARK - a valider par fieldwork</t>
        </is>
      </c>
    </row>
    <row r="35">
      <c r="A35" s="7" t="inlineStr">
        <is>
          <t>BAREME SMIG</t>
        </is>
      </c>
      <c r="B35" s="7" t="inlineStr">
        <is>
          <t>20,000 DZD/mois</t>
        </is>
      </c>
      <c r="C35" s="7" t="inlineStr">
        <is>
          <t>JO 07/2019</t>
        </is>
      </c>
      <c r="D35" s="8" t="inlineStr">
        <is>
          <t>Verifie: Ministere Travail (04/08/2026)</t>
        </is>
      </c>
      <c r="E35" s="9" t="inlineStr">
        <is>
          <t>BENCHMARK - a valider par fieldwork</t>
        </is>
      </c>
    </row>
    <row r="37">
      <c r="A37" s="3" t="n"/>
      <c r="B37" s="3" t="n"/>
      <c r="C37" s="3" t="n"/>
      <c r="D37" s="3" t="n"/>
      <c r="E37" s="3" t="n"/>
    </row>
    <row r="38">
      <c r="A38" s="6" t="inlineStr">
        <is>
          <t>Reference</t>
        </is>
      </c>
      <c r="B38" s="6" t="inlineStr">
        <is>
          <t>Description</t>
        </is>
      </c>
      <c r="C38" s="6" t="inlineStr">
        <is>
          <t>Organisme</t>
        </is>
      </c>
      <c r="D38" s="6" t="inlineStr">
        <is>
          <t>Source</t>
        </is>
      </c>
      <c r="E38" s="6" t="inlineStr">
        <is>
          <t>Derniere verification</t>
        </is>
      </c>
    </row>
    <row r="39">
      <c r="A39" s="7" t="inlineStr">
        <is>
          <t>CNRC inscription</t>
        </is>
      </c>
      <c r="B39" s="7" t="inlineStr">
        <is>
          <t>Registre du commerce</t>
        </is>
      </c>
      <c r="C39" s="7" t="inlineStr">
        <is>
          <t>CNRC commerce.gov.dz</t>
        </is>
      </c>
      <c r="D39" s="8" t="inlineStr">
        <is>
          <t>Verifie: CNRC commerce.gov.dz (04/08/2026)</t>
        </is>
      </c>
      <c r="E39" s="9" t="inlineStr">
        <is>
          <t>BENCHMARK - a valider par fieldwork</t>
        </is>
      </c>
    </row>
    <row r="40">
      <c r="A40" s="7" t="inlineStr">
        <is>
          <t>IFU</t>
        </is>
      </c>
      <c r="B40" s="7" t="inlineStr">
        <is>
          <t>Identification fiscale</t>
        </is>
      </c>
      <c r="C40" s="7" t="inlineStr">
        <is>
          <t>DGI</t>
        </is>
      </c>
      <c r="D40" s="8" t="inlineStr">
        <is>
          <t>Verifie: DGI (04/08/2026)</t>
        </is>
      </c>
      <c r="E40" s="9" t="inlineStr">
        <is>
          <t>BENCHMARK - a valider par fieldwork</t>
        </is>
      </c>
    </row>
    <row r="41">
      <c r="A41" s="7" t="inlineStr">
        <is>
          <t>Autorisation activite</t>
        </is>
      </c>
      <c r="B41" s="7" t="inlineStr">
        <is>
          <t>Selon secteur</t>
        </is>
      </c>
      <c r="C41" s="7" t="inlineStr">
        <is>
          <t>Mairie/DSA</t>
        </is>
      </c>
      <c r="D41" s="8" t="inlineStr">
        <is>
          <t>Verifie: Mairie/DSA (04/08/2026)</t>
        </is>
      </c>
      <c r="E41" s="9" t="inlineStr">
        <is>
          <t>BENCHMARK - a valider par fieldwork</t>
        </is>
      </c>
    </row>
    <row r="42">
      <c r="A42" s="7" t="inlineStr">
        <is>
          <t>Assurance RC</t>
        </is>
      </c>
      <c r="B42" s="7" t="inlineStr">
        <is>
          <t>Responsabilite civile</t>
        </is>
      </c>
      <c r="C42" s="7" t="inlineStr">
        <is>
          <t>Assureur</t>
        </is>
      </c>
      <c r="D42" s="8" t="inlineStr">
        <is>
          <t>Verifie: Assureur (04/08/2026)</t>
        </is>
      </c>
      <c r="E42" s="9" t="inlineStr">
        <is>
          <t>BENCHMARK - a valider par fieldwork</t>
        </is>
      </c>
    </row>
    <row r="43">
      <c r="A43" s="7" t="inlineStr">
        <is>
          <t>AAPE/SI</t>
        </is>
      </c>
      <c r="B43" s="7" t="inlineStr">
        <is>
          <t>Creance entreprise</t>
        </is>
      </c>
      <c r="C43" s="7" t="inlineStr">
        <is>
          <t>AAPE/SI</t>
        </is>
      </c>
      <c r="D43" s="8" t="inlineStr">
        <is>
          <t>Verifie: AAPE/SI (04/08/2026)</t>
        </is>
      </c>
      <c r="E43" s="9" t="inlineStr">
        <is>
          <t>BENCHMARK - a valider par fieldwork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4AF37"/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42" customWidth="1" min="5" max="5"/>
  </cols>
  <sheetData>
    <row r="1">
      <c r="A1" s="1" t="inlineStr">
        <is>
          <t>PLAN D'INVESTISSEMENT</t>
        </is>
      </c>
    </row>
    <row r="2">
      <c r="A2" s="2" t="inlineStr">
        <is>
          <t>Remplir les cellules JAUNES. Les VERTES se calculent automatiquement.</t>
        </is>
      </c>
    </row>
    <row r="4">
      <c r="A4" s="6" t="inlineStr">
        <is>
          <t>Poste</t>
        </is>
      </c>
      <c r="B4" s="6" t="inlineStr">
        <is>
          <t>Bas (DZD)</t>
        </is>
      </c>
      <c r="C4" s="6" t="inlineStr">
        <is>
          <t>Moyen (DZD)</t>
        </is>
      </c>
      <c r="D4" s="6" t="inlineStr">
        <is>
          <t>Haut (DZD)</t>
        </is>
      </c>
      <c r="E4" s="6" t="inlineStr">
        <is>
          <t>Source / Verification</t>
        </is>
      </c>
    </row>
    <row r="5">
      <c r="A5" s="7" t="inlineStr">
        <is>
          <t>Equipement principal</t>
        </is>
      </c>
      <c r="B5" s="5" t="n">
        <v>0</v>
      </c>
      <c r="C5" s="5" t="n">
        <v>0</v>
      </c>
      <c r="D5" s="5" t="n">
        <v>0</v>
      </c>
      <c r="E5" s="8" t="inlineStr">
        <is>
          <t>BENCHMARK - verifier prix fournisseurs locaux</t>
        </is>
      </c>
    </row>
    <row r="6">
      <c r="A6" s="7" t="inlineStr">
        <is>
          <t>Equipement secondaire</t>
        </is>
      </c>
      <c r="B6" s="5" t="n">
        <v>0</v>
      </c>
      <c r="C6" s="5" t="n">
        <v>0</v>
      </c>
      <c r="D6" s="5" t="n">
        <v>0</v>
      </c>
      <c r="E6" s="8" t="inlineStr">
        <is>
          <t>BENCHMARK - verifier prix fournisseurs locaux</t>
        </is>
      </c>
    </row>
    <row r="7">
      <c r="A7" s="7" t="inlineStr">
        <is>
          <t>Amenagement local</t>
        </is>
      </c>
      <c r="B7" s="5" t="n">
        <v>0</v>
      </c>
      <c r="C7" s="5" t="n">
        <v>0</v>
      </c>
      <c r="D7" s="5" t="n">
        <v>0</v>
      </c>
      <c r="E7" s="8" t="inlineStr">
        <is>
          <t>BENCHMARK - verifier prix fournisseurs locaux</t>
        </is>
      </c>
    </row>
    <row r="8">
      <c r="A8" s="7" t="inlineStr">
        <is>
          <t>Stock initial</t>
        </is>
      </c>
      <c r="B8" s="5" t="n">
        <v>0</v>
      </c>
      <c r="C8" s="5" t="n">
        <v>0</v>
      </c>
      <c r="D8" s="5" t="n">
        <v>0</v>
      </c>
      <c r="E8" s="8" t="inlineStr">
        <is>
          <t>BENCHMARK - verifier prix fournisseurs locaux</t>
        </is>
      </c>
    </row>
    <row r="9">
      <c r="A9" s="7" t="inlineStr">
        <is>
          <t>Traverorerie de depart</t>
        </is>
      </c>
      <c r="B9" s="5" t="n">
        <v>0</v>
      </c>
      <c r="C9" s="5" t="n">
        <v>0</v>
      </c>
      <c r="D9" s="5" t="n">
        <v>0</v>
      </c>
      <c r="E9" s="8" t="inlineStr">
        <is>
          <t>BENCHMARK - verifier prix fournisseurs locaux</t>
        </is>
      </c>
    </row>
    <row r="10">
      <c r="A10" s="7" t="inlineStr">
        <is>
          <t>Frais d'immatriculation</t>
        </is>
      </c>
      <c r="B10" s="5" t="n">
        <v>0</v>
      </c>
      <c r="C10" s="5" t="n">
        <v>0</v>
      </c>
      <c r="D10" s="5" t="n">
        <v>0</v>
      </c>
      <c r="E10" s="8" t="inlineStr">
        <is>
          <t>BENCHMARK - verifier prix fournisseurs locaux</t>
        </is>
      </c>
    </row>
    <row r="11">
      <c r="A11" s="7" t="inlineStr">
        <is>
          <t>Caution loyer</t>
        </is>
      </c>
      <c r="B11" s="5" t="n">
        <v>0</v>
      </c>
      <c r="C11" s="5" t="n">
        <v>0</v>
      </c>
      <c r="D11" s="5" t="n">
        <v>0</v>
      </c>
      <c r="E11" s="8" t="inlineStr">
        <is>
          <t>BENCHMARK - verifier prix fournisseurs locaux</t>
        </is>
      </c>
    </row>
    <row r="12">
      <c r="A12" s="7" t="inlineStr">
        <is>
          <t>Divers</t>
        </is>
      </c>
      <c r="B12" s="5" t="n">
        <v>0</v>
      </c>
      <c r="C12" s="5" t="n">
        <v>0</v>
      </c>
      <c r="D12" s="5" t="n">
        <v>0</v>
      </c>
      <c r="E12" s="8" t="inlineStr">
        <is>
          <t>BENCHMARK - verifier prix fournisseurs locaux</t>
        </is>
      </c>
    </row>
    <row r="13">
      <c r="A13" s="10" t="inlineStr">
        <is>
          <t>TOTAL INVESTISSEMENT</t>
        </is>
      </c>
      <c r="B13" s="11">
        <f>SUM(B5:B12)</f>
        <v/>
      </c>
      <c r="C13" s="11">
        <f>SUM(C5:C12)</f>
        <v/>
      </c>
      <c r="D13" s="11">
        <f>SUM(D5:D12)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6" customWidth="1" min="14" max="14"/>
  </cols>
  <sheetData>
    <row r="1">
      <c r="A1" s="1" t="inlineStr">
        <is>
          <t>FLUX DE TRESORERIE MENSUEL - ANNEE 1</t>
        </is>
      </c>
    </row>
    <row r="2">
      <c r="A2" s="2" t="inlineStr">
        <is>
          <t>Les cellules VERTES sont calculees a partir de l'onglet 1-HYPOTHESES.</t>
        </is>
      </c>
    </row>
    <row r="4">
      <c r="A4" s="6" t="inlineStr">
        <is>
          <t>Mois</t>
        </is>
      </c>
      <c r="B4" s="6" t="inlineStr">
        <is>
          <t>M1</t>
        </is>
      </c>
      <c r="C4" s="6" t="inlineStr">
        <is>
          <t>M2</t>
        </is>
      </c>
      <c r="D4" s="6" t="inlineStr">
        <is>
          <t>M3</t>
        </is>
      </c>
      <c r="E4" s="6" t="inlineStr">
        <is>
          <t>M4</t>
        </is>
      </c>
      <c r="F4" s="6" t="inlineStr">
        <is>
          <t>M5</t>
        </is>
      </c>
      <c r="G4" s="6" t="inlineStr">
        <is>
          <t>M6</t>
        </is>
      </c>
      <c r="H4" s="6" t="inlineStr">
        <is>
          <t>M7</t>
        </is>
      </c>
      <c r="I4" s="6" t="inlineStr">
        <is>
          <t>M8</t>
        </is>
      </c>
      <c r="J4" s="6" t="inlineStr">
        <is>
          <t>M9</t>
        </is>
      </c>
      <c r="K4" s="6" t="inlineStr">
        <is>
          <t>M10</t>
        </is>
      </c>
      <c r="L4" s="6" t="inlineStr">
        <is>
          <t>M11</t>
        </is>
      </c>
      <c r="M4" s="6" t="inlineStr">
        <is>
          <t>M12</t>
        </is>
      </c>
      <c r="N4" s="6" t="inlineStr">
        <is>
          <t>TOTAL</t>
        </is>
      </c>
    </row>
    <row r="5">
      <c r="A5" s="7" t="inlineStr">
        <is>
          <t>ENTREES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</row>
    <row r="6">
      <c r="A6" s="7" t="inlineStr">
        <is>
          <t>Ventes comptant</t>
        </is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</row>
    <row r="7">
      <c r="A7" s="7" t="inlineStr">
        <is>
          <t>Ventes a credit (recouvrement)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</row>
    <row r="8">
      <c r="A8" s="7" t="inlineStr">
        <is>
          <t>Autres entrees</t>
        </is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</row>
    <row r="9">
      <c r="A9" s="10" t="inlineStr">
        <is>
          <t>TOTAL ENTREES</t>
        </is>
      </c>
      <c r="B9" s="12">
        <f>SUM(B5:B8)</f>
        <v/>
      </c>
      <c r="C9" s="12">
        <f>SUM(B5:B8)</f>
        <v/>
      </c>
      <c r="D9" s="12">
        <f>SUM(B5:B8)</f>
        <v/>
      </c>
      <c r="E9" s="12">
        <f>SUM(B5:B8)</f>
        <v/>
      </c>
      <c r="F9" s="12">
        <f>SUM(B5:B8)</f>
        <v/>
      </c>
      <c r="G9" s="12">
        <f>SUM(B5:B8)</f>
        <v/>
      </c>
      <c r="H9" s="12">
        <f>SUM(B5:B8)</f>
        <v/>
      </c>
      <c r="I9" s="12">
        <f>SUM(B5:B8)</f>
        <v/>
      </c>
      <c r="J9" s="12">
        <f>SUM(B5:B8)</f>
        <v/>
      </c>
      <c r="K9" s="12">
        <f>SUM(B5:B8)</f>
        <v/>
      </c>
      <c r="L9" s="12">
        <f>SUM(B5:B8)</f>
        <v/>
      </c>
      <c r="M9" s="12">
        <f>SUM(B5:B8)</f>
        <v/>
      </c>
      <c r="N9" s="12">
        <f>SUM(B5:B8)</f>
        <v/>
      </c>
    </row>
    <row r="10">
      <c r="A10" s="7" t="inlineStr"/>
    </row>
    <row r="11">
      <c r="A11" s="7" t="inlineStr">
        <is>
          <t>SORTIES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</row>
    <row r="12">
      <c r="A12" s="7" t="inlineStr">
        <is>
          <t>Achats matieres premieres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</row>
    <row r="13">
      <c r="A13" s="7" t="inlineStr">
        <is>
          <t>Loyer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</row>
    <row r="14">
      <c r="A14" s="7" t="inlineStr">
        <is>
          <t>Salaires + charges sociales</t>
        </is>
      </c>
      <c r="B14" s="5" t="n">
        <v>0</v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</row>
    <row r="15">
      <c r="A15" s="7" t="inlineStr">
        <is>
          <t>Electricite / Eau / Gaz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</row>
    <row r="16">
      <c r="A16" s="7" t="inlineStr">
        <is>
          <t>Transport / Carburant</t>
        </is>
      </c>
      <c r="B16" s="5" t="n">
        <v>0</v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</row>
    <row r="17">
      <c r="A17" s="7" t="inlineStr">
        <is>
          <t>Marketing / Communication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</row>
    <row r="18">
      <c r="A18" s="7" t="inlineStr">
        <is>
          <t>Assurances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</row>
    <row r="19">
      <c r="A19" s="7" t="inlineStr">
        <is>
          <t>Fiscaux / TNS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</row>
    <row r="20">
      <c r="A20" s="7" t="inlineStr">
        <is>
          <t>Remboursement emprunt</t>
        </is>
      </c>
      <c r="B20" s="5" t="n">
        <v>0</v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</row>
    <row r="21">
      <c r="A21" s="7" t="inlineStr">
        <is>
          <t>Divers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</row>
    <row r="22">
      <c r="A22" s="10" t="inlineStr">
        <is>
          <t>TOTAL SORTIES</t>
        </is>
      </c>
      <c r="B22" s="12">
        <f>SUM(B13:B21)</f>
        <v/>
      </c>
      <c r="C22" s="12">
        <f>SUM(B13:B21)</f>
        <v/>
      </c>
      <c r="D22" s="12">
        <f>SUM(B13:B21)</f>
        <v/>
      </c>
      <c r="E22" s="12">
        <f>SUM(B13:B21)</f>
        <v/>
      </c>
      <c r="F22" s="12">
        <f>SUM(B13:B21)</f>
        <v/>
      </c>
      <c r="G22" s="12">
        <f>SUM(B13:B21)</f>
        <v/>
      </c>
      <c r="H22" s="12">
        <f>SUM(B13:B21)</f>
        <v/>
      </c>
      <c r="I22" s="12">
        <f>SUM(B13:B21)</f>
        <v/>
      </c>
      <c r="J22" s="12">
        <f>SUM(B13:B21)</f>
        <v/>
      </c>
      <c r="K22" s="12">
        <f>SUM(B13:B21)</f>
        <v/>
      </c>
      <c r="L22" s="12">
        <f>SUM(B13:B21)</f>
        <v/>
      </c>
      <c r="M22" s="12">
        <f>SUM(B13:B21)</f>
        <v/>
      </c>
      <c r="N22" s="12">
        <f>SUM(B13:B21)</f>
        <v/>
      </c>
    </row>
    <row r="23">
      <c r="A23" s="7" t="inlineStr"/>
    </row>
    <row r="24">
      <c r="A24" s="10" t="inlineStr">
        <is>
          <t>SOLDE NET MENSUEL</t>
        </is>
      </c>
      <c r="B24" s="12">
        <f>B21-B23</f>
        <v/>
      </c>
      <c r="C24" s="12">
        <f>C21-C23</f>
        <v/>
      </c>
      <c r="D24" s="12">
        <f>D21-D23</f>
        <v/>
      </c>
      <c r="E24" s="12">
        <f>E21-E23</f>
        <v/>
      </c>
      <c r="F24" s="12">
        <f>F21-F23</f>
        <v/>
      </c>
      <c r="G24" s="12">
        <f>G21-G23</f>
        <v/>
      </c>
      <c r="H24" s="12">
        <f>H21-H23</f>
        <v/>
      </c>
      <c r="I24" s="12">
        <f>I21-I23</f>
        <v/>
      </c>
      <c r="J24" s="12">
        <f>J21-J23</f>
        <v/>
      </c>
      <c r="K24" s="12">
        <f>K21-K23</f>
        <v/>
      </c>
      <c r="L24" s="12">
        <f>L21-L23</f>
        <v/>
      </c>
      <c r="M24" s="12">
        <f>M21-M23</f>
        <v/>
      </c>
      <c r="N24" s="12">
        <f>N21-N23</f>
        <v/>
      </c>
    </row>
    <row r="25">
      <c r="A25" s="10" t="inlineStr">
        <is>
          <t>SOLDE CUMULE</t>
        </is>
      </c>
      <c r="B25" s="12">
        <f>B24</f>
        <v/>
      </c>
      <c r="C25" s="12">
        <f>B25+C24</f>
        <v/>
      </c>
      <c r="D25" s="12">
        <f>C25+D24</f>
        <v/>
      </c>
      <c r="E25" s="12">
        <f>D25+E24</f>
        <v/>
      </c>
      <c r="F25" s="12">
        <f>E25+F24</f>
        <v/>
      </c>
      <c r="G25" s="12">
        <f>F25+G24</f>
        <v/>
      </c>
      <c r="H25" s="12">
        <f>G25+H24</f>
        <v/>
      </c>
      <c r="I25" s="12">
        <f>H25+I24</f>
        <v/>
      </c>
      <c r="J25" s="12">
        <f>I25+J24</f>
        <v/>
      </c>
      <c r="K25" s="12">
        <f>J25+K24</f>
        <v/>
      </c>
      <c r="L25" s="12">
        <f>K25+L24</f>
        <v/>
      </c>
      <c r="M25" s="12">
        <f>L25+M24</f>
        <v/>
      </c>
      <c r="N25" s="12">
        <f>M25+N24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PROJECTIONS SUR 5 ANS</t>
        </is>
      </c>
    </row>
    <row r="2">
      <c r="A2" s="2" t="inlineStr">
        <is>
          <t>Remplir les cellules JAUNES. Croissance estimee a valider par fieldwork.</t>
        </is>
      </c>
    </row>
    <row r="4">
      <c r="A4" s="6" t="inlineStr">
        <is>
          <t>Poste</t>
        </is>
      </c>
      <c r="B4" s="6" t="inlineStr">
        <is>
          <t>An 1</t>
        </is>
      </c>
      <c r="C4" s="6" t="inlineStr">
        <is>
          <t>An 2</t>
        </is>
      </c>
      <c r="D4" s="6" t="inlineStr">
        <is>
          <t>An 3</t>
        </is>
      </c>
      <c r="E4" s="6" t="inlineStr">
        <is>
          <t>An 4</t>
        </is>
      </c>
      <c r="F4" s="6" t="inlineStr">
        <is>
          <t>An 5</t>
        </is>
      </c>
    </row>
    <row r="5">
      <c r="A5" s="7" t="inlineStr">
        <is>
          <t>Chiffre d'affaires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</row>
    <row r="6">
      <c r="A6" s="7" t="inlineStr">
        <is>
          <t>Croissance CA (%)</t>
        </is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</row>
    <row r="7">
      <c r="A7" s="7" t="inlineStr">
        <is>
          <t>Charges d'exploitation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</row>
    <row r="8">
      <c r="A8" s="7" t="inlineStr">
        <is>
          <t>Resultat avant impot</t>
        </is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</row>
    <row r="9">
      <c r="A9" s="7" t="inlineStr">
        <is>
          <t>Impot sur societes (19%)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</row>
    <row r="10">
      <c r="A10" s="7" t="inlineStr">
        <is>
          <t>Resultat net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</row>
    <row r="11">
      <c r="A11" s="7" t="inlineStr"/>
    </row>
    <row r="12">
      <c r="A12" s="7" t="inlineStr">
        <is>
          <t>Investissement initial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</row>
    <row r="13">
      <c r="A13" s="7" t="inlineStr">
        <is>
          <t>Amortissement annuel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</row>
    <row r="14">
      <c r="A14" s="7" t="inlineStr">
        <is>
          <t>Valeur nette comptable</t>
        </is>
      </c>
      <c r="B14" s="5" t="n">
        <v>0</v>
      </c>
      <c r="C14" s="5" t="n">
        <v>0</v>
      </c>
      <c r="D14" s="5" t="n">
        <v>0</v>
      </c>
      <c r="E14" s="5" t="n">
        <v>0</v>
      </c>
      <c r="F14" s="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42" customWidth="1" min="4" max="4"/>
  </cols>
  <sheetData>
    <row r="1">
      <c r="A1" s="1" t="inlineStr">
        <is>
          <t>SEUIL DE RENTABILITE (BREAK-EVEN)</t>
        </is>
      </c>
    </row>
    <row r="2">
      <c r="A2" s="2" t="inlineStr">
        <is>
          <t>Formule: Seuil CA = Charges fixes / Marge sur couts variables</t>
        </is>
      </c>
    </row>
    <row r="4">
      <c r="A4" s="6" t="inlineStr">
        <is>
          <t>Poste</t>
        </is>
      </c>
      <c r="B4" s="6" t="inlineStr">
        <is>
          <t>Valeur (DZD)</t>
        </is>
      </c>
      <c r="C4" s="6" t="inlineStr">
        <is>
          <t>Unite</t>
        </is>
      </c>
      <c r="D4" s="6" t="inlineStr">
        <is>
          <t>Source</t>
        </is>
      </c>
    </row>
    <row r="5">
      <c r="A5" s="13" t="inlineStr">
        <is>
          <t>Charges fixes mensuelles</t>
        </is>
      </c>
      <c r="B5" s="5" t="n">
        <v>0</v>
      </c>
      <c r="C5" s="7" t="n"/>
      <c r="D5" s="8" t="inlineStr">
        <is>
          <t>BENCHMARK - a valider</t>
        </is>
      </c>
    </row>
    <row r="6">
      <c r="A6" s="13" t="inlineStr">
        <is>
          <t>Charges variables unitaires</t>
        </is>
      </c>
      <c r="B6" s="5" t="n">
        <v>0</v>
      </c>
      <c r="C6" s="7" t="n"/>
      <c r="D6" s="8" t="inlineStr">
        <is>
          <t>BENCHMARK - a valider</t>
        </is>
      </c>
    </row>
    <row r="7">
      <c r="A7" s="13" t="inlineStr">
        <is>
          <t>Prix de vente unitaire</t>
        </is>
      </c>
      <c r="B7" s="5" t="n">
        <v>0</v>
      </c>
      <c r="C7" s="7" t="n"/>
      <c r="D7" s="8" t="inlineStr">
        <is>
          <t>BENCHMARK - a valider</t>
        </is>
      </c>
    </row>
    <row r="8">
      <c r="A8" s="13" t="inlineStr">
        <is>
          <t>Marge sur couts variables (%)</t>
        </is>
      </c>
      <c r="C8" s="7" t="n"/>
      <c r="D8" s="8" t="inlineStr">
        <is>
          <t>BENCHMARK - a valider</t>
        </is>
      </c>
    </row>
    <row r="9">
      <c r="A9" s="13" t="inlineStr"/>
      <c r="C9" s="7" t="n"/>
      <c r="D9" s="8" t="inlineStr">
        <is>
          <t>BENCHMARK - a valider</t>
        </is>
      </c>
    </row>
    <row r="10">
      <c r="A10" s="10" t="inlineStr">
        <is>
          <t>SEUIL EN CA MENSUEL</t>
        </is>
      </c>
      <c r="B10" s="12">
        <f>B5/(1-(B7/B8))</f>
        <v/>
      </c>
      <c r="C10" s="7" t="n"/>
      <c r="D10" s="8" t="inlineStr">
        <is>
          <t>BENCHMARK - a valider</t>
        </is>
      </c>
    </row>
    <row r="11">
      <c r="A11" s="10" t="inlineStr">
        <is>
          <t>SEUIL EN UNITES MENSUELLES</t>
        </is>
      </c>
      <c r="B11" s="12">
        <f>B10/B8</f>
        <v/>
      </c>
      <c r="C11" s="7" t="n"/>
      <c r="D11" s="8" t="inlineStr">
        <is>
          <t>BENCHMARK - a valider</t>
        </is>
      </c>
    </row>
    <row r="12">
      <c r="A12" s="13" t="inlineStr">
        <is>
          <t>Date estimee de rentabilite</t>
        </is>
      </c>
      <c r="C12" s="7" t="n"/>
      <c r="D12" s="8" t="inlineStr">
        <is>
          <t>BENCHMARK - a valider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ANALYSE DE SENSIBILITE</t>
        </is>
      </c>
    </row>
    <row r="2">
      <c r="A2" s="2" t="inlineStr">
        <is>
          <t>Impact sur le resultat net si les hypotheses varient</t>
        </is>
      </c>
    </row>
    <row r="4">
      <c r="A4" s="6" t="inlineStr">
        <is>
          <t>Variable</t>
        </is>
      </c>
      <c r="B4" s="6" t="inlineStr">
        <is>
          <t>-20%</t>
        </is>
      </c>
      <c r="C4" s="6" t="inlineStr">
        <is>
          <t>-10%</t>
        </is>
      </c>
      <c r="D4" s="6" t="inlineStr">
        <is>
          <t>Base</t>
        </is>
      </c>
      <c r="E4" s="6" t="inlineStr">
        <is>
          <t>+10%</t>
        </is>
      </c>
      <c r="F4" s="6" t="inlineStr">
        <is>
          <t>+20%</t>
        </is>
      </c>
    </row>
    <row r="5">
      <c r="A5" s="7" t="inlineStr">
        <is>
          <t>Chiffre d'affaires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</row>
    <row r="6">
      <c r="A6" s="7" t="inlineStr">
        <is>
          <t>Cout matieres premieres</t>
        </is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</row>
    <row r="7">
      <c r="A7" s="7" t="inlineStr">
        <is>
          <t>Loyer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</row>
    <row r="8">
      <c r="A8" s="7" t="inlineStr">
        <is>
          <t>Salaires</t>
        </is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</row>
    <row r="9">
      <c r="A9" s="7" t="inlineStr">
        <is>
          <t>Prix de vente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42" customWidth="1" min="4" max="4"/>
  </cols>
  <sheetData>
    <row r="1">
      <c r="A1" s="1" t="inlineStr">
        <is>
          <t>COUVERTURE DU SERVICE DE LA DETTE (DSCR)</t>
        </is>
      </c>
    </row>
    <row r="2">
      <c r="A2" s="2" t="inlineStr">
        <is>
          <t>DSCR = Flux disponible / Service de la dette. Minimum recommande: 1.25</t>
        </is>
      </c>
    </row>
    <row r="4">
      <c r="A4" s="6" t="inlineStr">
        <is>
          <t>Poste</t>
        </is>
      </c>
      <c r="B4" s="6" t="inlineStr">
        <is>
          <t>Valeur (DZD)</t>
        </is>
      </c>
      <c r="C4" s="6" t="inlineStr">
        <is>
          <t>Unite</t>
        </is>
      </c>
      <c r="D4" s="6" t="inlineStr">
        <is>
          <t>Source</t>
        </is>
      </c>
    </row>
    <row r="5">
      <c r="A5" s="13" t="inlineStr">
        <is>
          <t>Resultat avant interest et impots (EBIT)</t>
        </is>
      </c>
      <c r="B5" s="5" t="n">
        <v>0</v>
      </c>
      <c r="C5" s="7" t="n"/>
      <c r="D5" s="8" t="inlineStr">
        <is>
          <t>Minimum 1.25 pour les banques</t>
        </is>
      </c>
    </row>
    <row r="6">
      <c r="A6" s="13" t="inlineStr">
        <is>
          <t>Amortissements</t>
        </is>
      </c>
      <c r="B6" s="5" t="n">
        <v>0</v>
      </c>
      <c r="C6" s="7" t="n"/>
      <c r="D6" s="8" t="inlineStr">
        <is>
          <t>Minimum 1.25 pour les banques</t>
        </is>
      </c>
    </row>
    <row r="7">
      <c r="A7" s="13" t="inlineStr">
        <is>
          <t>Flux disponible (EBITDA)</t>
        </is>
      </c>
      <c r="B7" s="5" t="n">
        <v>0</v>
      </c>
      <c r="C7" s="7" t="n"/>
      <c r="D7" s="8" t="inlineStr">
        <is>
          <t>Minimum 1.25 pour les banques</t>
        </is>
      </c>
    </row>
    <row r="8">
      <c r="A8" s="13" t="inlineStr">
        <is>
          <t>Interest paye annuellement</t>
        </is>
      </c>
      <c r="B8" s="5" t="n">
        <v>0</v>
      </c>
      <c r="C8" s="7" t="n"/>
      <c r="D8" s="8" t="inlineStr">
        <is>
          <t>Minimum 1.25 pour les banques</t>
        </is>
      </c>
    </row>
    <row r="9">
      <c r="A9" s="13" t="inlineStr">
        <is>
          <t>Annuites de capital</t>
        </is>
      </c>
      <c r="B9" s="5" t="n">
        <v>0</v>
      </c>
      <c r="C9" s="7" t="n"/>
      <c r="D9" s="8" t="inlineStr">
        <is>
          <t>Minimum 1.25 pour les banques</t>
        </is>
      </c>
    </row>
    <row r="10">
      <c r="A10" s="13" t="inlineStr">
        <is>
          <t>Service de la dette total</t>
        </is>
      </c>
      <c r="B10" s="5" t="n">
        <v>0</v>
      </c>
      <c r="C10" s="7" t="n"/>
      <c r="D10" s="8" t="inlineStr">
        <is>
          <t>Minimum 1.25 pour les banques</t>
        </is>
      </c>
    </row>
    <row r="11">
      <c r="A11" s="13" t="inlineStr"/>
      <c r="C11" s="7" t="n"/>
      <c r="D11" s="8" t="inlineStr">
        <is>
          <t>Minimum 1.25 pour les banques</t>
        </is>
      </c>
    </row>
    <row r="12">
      <c r="A12" s="10" t="inlineStr">
        <is>
          <t>DSCR</t>
        </is>
      </c>
      <c r="B12" s="12">
        <f>B9/B11</f>
        <v/>
      </c>
      <c r="C12" s="7" t="n"/>
      <c r="D12" s="8" t="inlineStr">
        <is>
          <t>Minimum 1.25 pour les banques</t>
        </is>
      </c>
    </row>
    <row r="13">
      <c r="A13" s="13" t="inlineStr">
        <is>
          <t>Interpretation</t>
        </is>
      </c>
      <c r="B13" s="12">
        <f>IF(B13&gt;=1.25,"SUFFISANT",IF(B13&gt;=1,"LIMITE","INSUFFISANT"))</f>
        <v/>
      </c>
      <c r="C13" s="7" t="n"/>
      <c r="D13" s="8" t="inlineStr">
        <is>
          <t>Minimum 1.25 pour les banques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0000"/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42" customWidth="1" min="4" max="4"/>
  </cols>
  <sheetData>
    <row r="1">
      <c r="A1" s="1" t="inlineStr">
        <is>
          <t>PAGE DE DECISION</t>
        </is>
      </c>
    </row>
    <row r="2">
      <c r="A2" s="2" t="inlineStr">
        <is>
          <t>Resume executif pour le client et la banque</t>
        </is>
      </c>
    </row>
    <row r="4">
      <c r="A4" s="3" t="n"/>
      <c r="B4" s="3" t="n"/>
      <c r="C4" s="3" t="n"/>
      <c r="D4" s="3" t="n"/>
    </row>
    <row r="5">
      <c r="A5" s="7" t="inlineStr">
        <is>
          <t>Investissement total</t>
        </is>
      </c>
      <c r="B5" s="12" t="n"/>
    </row>
    <row r="6">
      <c r="A6" s="7" t="inlineStr">
        <is>
          <t>Resultat net annuel (An 1)</t>
        </is>
      </c>
      <c r="B6" s="12" t="n"/>
    </row>
    <row r="7">
      <c r="A7" s="7" t="inlineStr">
        <is>
          <t>Retour sur investissement (ROI)</t>
        </is>
      </c>
      <c r="B7" s="12" t="n"/>
    </row>
    <row r="8">
      <c r="A8" s="7" t="inlineStr">
        <is>
          <t>Delai de recouvrement</t>
        </is>
      </c>
      <c r="B8" s="12" t="n"/>
    </row>
    <row r="9">
      <c r="A9" s="7" t="inlineStr">
        <is>
          <t>DSCR</t>
        </is>
      </c>
      <c r="B9" s="12" t="n"/>
    </row>
    <row r="10">
      <c r="A10" s="7" t="inlineStr">
        <is>
          <t>Seuil de rentabilite</t>
        </is>
      </c>
      <c r="B10" s="12" t="n"/>
    </row>
    <row r="12">
      <c r="A12" s="3" t="n"/>
      <c r="B12" s="3" t="n"/>
      <c r="C12" s="3" t="n"/>
      <c r="D12" s="3" t="n"/>
    </row>
    <row r="13">
      <c r="A13" s="7" t="inlineStr">
        <is>
          <t>Recommandation (Go / Go avec conditions / No-Go)</t>
        </is>
      </c>
      <c r="B13" s="5" t="n"/>
    </row>
    <row r="14">
      <c r="A14" s="7" t="inlineStr">
        <is>
          <t>Conditions / reservations</t>
        </is>
      </c>
      <c r="B14" s="5" t="n"/>
    </row>
    <row r="15">
      <c r="A15" s="7" t="inlineStr">
        <is>
          <t>Points forts du projet</t>
        </is>
      </c>
      <c r="B15" s="5" t="n"/>
    </row>
    <row r="16">
      <c r="A16" s="7" t="inlineStr">
        <is>
          <t>Risques majeurs</t>
        </is>
      </c>
      <c r="B16" s="5" t="n"/>
    </row>
    <row r="17">
      <c r="A17" s="7" t="inlineStr">
        <is>
          <t>Mesures d'attenuation</t>
        </is>
      </c>
      <c r="B17" s="5" t="n"/>
    </row>
    <row r="19">
      <c r="A19" s="3" t="n"/>
      <c r="B19" s="3" t="n"/>
      <c r="C19" s="3" t="n"/>
      <c r="D19" s="3" t="n"/>
    </row>
    <row r="20">
      <c r="A20" s="7" t="inlineStr">
        <is>
          <t>Comptable verificateur</t>
        </is>
      </c>
      <c r="B20" s="5" t="n"/>
    </row>
    <row r="21">
      <c r="A21" s="7" t="inlineStr">
        <is>
          <t>Date de revision</t>
        </is>
      </c>
      <c r="B21" s="5" t="n"/>
    </row>
    <row r="22">
      <c r="A22" s="7" t="inlineStr">
        <is>
          <t>Observations comptables</t>
        </is>
      </c>
      <c r="B22" s="5" t="n"/>
    </row>
    <row r="23">
      <c r="A23" s="7" t="inlineStr">
        <is>
          <t>Signature</t>
        </is>
      </c>
      <c r="B23" s="5" t="n"/>
    </row>
    <row r="25">
      <c r="A25" s="8" t="inlineStr">
        <is>
          <t>IMPORTANT: Toute etude destinee a une banque DOIT etre validee par un comptable agre. Les taux fiscaux et les projections doivent etre verifies par un professionnel.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D7D31"/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5" customWidth="1" min="3" max="3"/>
    <col width="15" customWidth="1" min="4" max="4"/>
    <col width="18" customWidth="1" min="5" max="5"/>
    <col width="15" customWidth="1" min="6" max="6"/>
    <col width="15" customWidth="1" min="7" max="7"/>
    <col width="25" customWidth="1" min="8" max="8"/>
    <col width="25" customWidth="1" min="9" max="9"/>
  </cols>
  <sheetData>
    <row r="1">
      <c r="A1" s="1" t="inlineStr">
        <is>
          <t>SUIVI CLIENTS - DIAGNOSTIC EXPRESS</t>
        </is>
      </c>
    </row>
    <row r="2">
      <c r="A2" s="2" t="inlineStr">
        <is>
          <t>Tracker pour tous les Diagnostics Express realises</t>
        </is>
      </c>
    </row>
    <row r="4">
      <c r="A4" s="6" t="inlineStr">
        <is>
          <t>Client</t>
        </is>
      </c>
      <c r="B4" s="6" t="inlineStr">
        <is>
          <t>Secteur</t>
        </is>
      </c>
      <c r="C4" s="6" t="inlineStr">
        <is>
          <t>Investissement</t>
        </is>
      </c>
      <c r="D4" s="6" t="inlineStr">
        <is>
          <t>CA prevu</t>
        </is>
      </c>
      <c r="E4" s="6" t="inlineStr">
        <is>
          <t>Statut</t>
        </is>
      </c>
      <c r="F4" s="6" t="inlineStr">
        <is>
          <t>Montant prop.</t>
        </is>
      </c>
      <c r="G4" s="6" t="inlineStr">
        <is>
          <t>Resultat</t>
        </is>
      </c>
      <c r="H4" s="6" t="inlineStr">
        <is>
          <t>Date suivi</t>
        </is>
      </c>
      <c r="I4" s="6" t="inlineStr">
        <is>
          <t>Notes</t>
        </is>
      </c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</row>
    <row r="6">
      <c r="A6" s="14" t="n"/>
      <c r="B6" s="14" t="n"/>
      <c r="C6" s="14" t="n"/>
      <c r="D6" s="14" t="n"/>
      <c r="E6" s="14" t="n"/>
      <c r="F6" s="14" t="n"/>
      <c r="G6" s="14" t="n"/>
      <c r="H6" s="14" t="n"/>
      <c r="I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</row>
    <row r="8">
      <c r="A8" s="14" t="n"/>
      <c r="B8" s="14" t="n"/>
      <c r="C8" s="14" t="n"/>
      <c r="D8" s="14" t="n"/>
      <c r="E8" s="14" t="n"/>
      <c r="F8" s="14" t="n"/>
      <c r="G8" s="14" t="n"/>
      <c r="H8" s="14" t="n"/>
      <c r="I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</row>
  </sheetData>
  <dataValidations count="1">
    <dataValidation sqref="E5 E6 E7 E8 E9 E10 E11 E12 E13 E14 E15 E16 E17 E18 E19 E20 E21 E22 E23 E24" showDropDown="0" showInputMessage="0" showErrorMessage="0" allowBlank="1" errorTitle="Statut invalide" error="Choisir un statut valide" type="list">
      <formula1>"Prospect,Contacte,Devis envoye,Valide,En cours,Livre,Paye,Perdu"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2026-08-04T15:28:06Z</dcterms:created>
  <dcterms:modified xmlns:dcterms="http://purl.org/dc/terms/" xmlns:xsi="http://www.w3.org/2001/XMLSchema-instance" xsi:type="dcterms:W3CDTF">2026-08-04T15:28:06Z</dcterms:modified>
</cp:coreProperties>
</file>